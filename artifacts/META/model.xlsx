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_FY" sheetId="2" state="visible" r:id="rId2"/>
    <sheet name="Hist_Q" sheetId="3" state="visible" r:id="rId3"/>
    <sheet name="Comps" sheetId="4" state="visible" r:id="rId4"/>
    <sheet name="L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t="inlineStr">
        <is>
          <t>Ticker</t>
        </is>
      </c>
      <c r="B1" t="inlineStr">
        <is>
          <t>META</t>
        </is>
      </c>
    </row>
    <row r="2"/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WACC</t>
        </is>
      </c>
      <c r="B4" t="n">
        <v>0.1</v>
      </c>
    </row>
    <row r="5">
      <c r="A5" t="inlineStr">
        <is>
          <t>Terminal_Growth</t>
        </is>
      </c>
      <c r="B5" t="n">
        <v>0.03</v>
      </c>
    </row>
    <row r="6"/>
    <row r="7"/>
    <row r="8"/>
    <row r="9"/>
    <row r="10">
      <c r="A10" t="inlineStr">
        <is>
          <t>Notes</t>
        </is>
      </c>
      <c r="B10" t="inlineStr">
        <is>
          <t>Update assumptions + LBO inputs, then refresh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ev</t>
        </is>
      </c>
      <c r="E1" s="1" t="inlineStr">
        <is>
          <t>ttm_revenue</t>
        </is>
      </c>
      <c r="F1" s="1" t="inlineStr">
        <is>
          <t>ttm_ebitda</t>
        </is>
      </c>
      <c r="G1" s="1" t="inlineStr">
        <is>
          <t>EV/Revenue</t>
        </is>
      </c>
      <c r="H1" s="1" t="inlineStr">
        <is>
          <t>EV/EBITDA</t>
        </is>
      </c>
    </row>
    <row r="2">
      <c r="A2" t="inlineStr">
        <is>
          <t>META</t>
        </is>
      </c>
      <c r="B2" t="n">
        <v>716.5</v>
      </c>
      <c r="C2" t="n">
        <v>1812426489956</v>
      </c>
      <c r="D2" t="n">
        <v>1812426489956</v>
      </c>
      <c r="E2" t="n">
        <v>200965996544</v>
      </c>
      <c r="F2" t="n">
        <v>101891997696</v>
      </c>
      <c r="G2" t="n">
        <v>9.018572898521082</v>
      </c>
      <c r="H2" t="n">
        <v>17.78772161640669</v>
      </c>
    </row>
    <row r="3">
      <c r="A3" t="inlineStr">
        <is>
          <t>MSFT</t>
        </is>
      </c>
      <c r="B3" t="n">
        <v>430.2900085449219</v>
      </c>
      <c r="C3" t="n">
        <v>3195173998563.46</v>
      </c>
      <c r="D3" t="n">
        <v>3195173998563.46</v>
      </c>
      <c r="E3" t="n">
        <v>305453006848</v>
      </c>
      <c r="F3" t="n">
        <v>175258992640</v>
      </c>
      <c r="G3" t="n">
        <v>10.46044375707667</v>
      </c>
      <c r="H3" t="n">
        <v>18.23115579082824</v>
      </c>
    </row>
    <row r="4">
      <c r="A4" t="inlineStr">
        <is>
          <t>GOOG</t>
        </is>
      </c>
      <c r="B4" t="n">
        <v>338.5299987792969</v>
      </c>
      <c r="C4" t="n">
        <v>4086677708250.516</v>
      </c>
      <c r="D4" t="n">
        <v>4086677708250.516</v>
      </c>
      <c r="E4" t="n">
        <v>385476001792</v>
      </c>
      <c r="F4" t="n">
        <v>145174003712</v>
      </c>
      <c r="G4" t="n">
        <v>10.60163976292266</v>
      </c>
      <c r="H4" t="n">
        <v>28.15020323030957</v>
      </c>
    </row>
    <row r="5">
      <c r="A5" t="inlineStr">
        <is>
          <t>AMZN</t>
        </is>
      </c>
      <c r="B5" t="n">
        <v>239.3000030517578</v>
      </c>
      <c r="C5" t="n">
        <v>2558168724056.25</v>
      </c>
      <c r="D5" t="n">
        <v>2558168724056.25</v>
      </c>
      <c r="E5" t="n">
        <v>691330023424</v>
      </c>
      <c r="F5" t="n">
        <v>139696996352</v>
      </c>
      <c r="G5" t="n">
        <v>3.700358204300493</v>
      </c>
      <c r="H5" t="n">
        <v>18.31226719871866</v>
      </c>
    </row>
    <row r="6">
      <c r="A6" t="inlineStr">
        <is>
          <t>META</t>
        </is>
      </c>
      <c r="B6" t="n">
        <v>716.5</v>
      </c>
      <c r="C6" t="n">
        <v>1812426489956</v>
      </c>
      <c r="D6" t="n">
        <v>1812426489956</v>
      </c>
      <c r="E6" t="n">
        <v>200965996544</v>
      </c>
      <c r="F6" t="n">
        <v>101891997696</v>
      </c>
      <c r="G6" t="n">
        <v>9.018572898521082</v>
      </c>
      <c r="H6" t="n">
        <v>17.78772161640669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" customWidth="1" min="3" max="3"/>
    <col width="14" customWidth="1" min="4" max="4"/>
    <col width="30" customWidth="1" min="5" max="5"/>
  </cols>
  <sheetData>
    <row r="1">
      <c r="A1" t="inlineStr">
        <is>
          <t>LBO Module (Starter)</t>
        </is>
      </c>
    </row>
    <row r="2"/>
    <row r="3">
      <c r="A3" s="1" t="inlineStr">
        <is>
          <t>Input</t>
        </is>
      </c>
      <c r="B3" s="1" t="inlineStr">
        <is>
          <t>Value</t>
        </is>
      </c>
      <c r="C3" s="1" t="n"/>
      <c r="D3" s="1" t="inlineStr">
        <is>
          <t>Outputs</t>
        </is>
      </c>
      <c r="E3" s="1" t="inlineStr">
        <is>
          <t>Value</t>
        </is>
      </c>
    </row>
    <row r="4">
      <c r="A4" t="inlineStr">
        <is>
          <t>TTM EBITDA</t>
        </is>
      </c>
      <c r="B4" s="2">
        <f>IFERROR(INDEX(Comps!$G:$G, MATCH("META", Comps!$A:$A, 0)), "")</f>
        <v/>
      </c>
      <c r="D4" t="inlineStr">
        <is>
          <t>Entry EV</t>
        </is>
      </c>
      <c r="E4" s="2">
        <f>B4*B5</f>
        <v/>
      </c>
    </row>
    <row r="5">
      <c r="A5" t="inlineStr">
        <is>
          <t>Entry EV/EBITDA</t>
        </is>
      </c>
      <c r="B5" s="2" t="n">
        <v>10</v>
      </c>
      <c r="D5" t="inlineStr">
        <is>
          <t>Entry Debt</t>
        </is>
      </c>
      <c r="E5" s="2">
        <f>B4*B6</f>
        <v/>
      </c>
    </row>
    <row r="6">
      <c r="A6" t="inlineStr">
        <is>
          <t>Debt / EBITDA</t>
        </is>
      </c>
      <c r="B6" s="2" t="n">
        <v>5</v>
      </c>
      <c r="D6" t="inlineStr">
        <is>
          <t>Entry Equity</t>
        </is>
      </c>
      <c r="E6" s="2">
        <f>E4-E5</f>
        <v/>
      </c>
    </row>
    <row r="7">
      <c r="A7" t="inlineStr">
        <is>
          <t>Interest Rate</t>
        </is>
      </c>
      <c r="B7" s="3" t="n">
        <v>0.08500000000000001</v>
      </c>
      <c r="D7" t="inlineStr">
        <is>
          <t>Exit EBITDA</t>
        </is>
      </c>
      <c r="E7" s="2">
        <f>B4*(1+B10)^B8</f>
        <v/>
      </c>
    </row>
    <row r="8">
      <c r="A8" t="inlineStr">
        <is>
          <t>Holding Period (Years)</t>
        </is>
      </c>
      <c r="B8" s="4" t="n">
        <v>5</v>
      </c>
      <c r="D8" t="inlineStr">
        <is>
          <t>Exit EV</t>
        </is>
      </c>
      <c r="E8" s="2">
        <f>E7*B9</f>
        <v/>
      </c>
    </row>
    <row r="9">
      <c r="A9" t="inlineStr">
        <is>
          <t>Exit EV/EBITDA</t>
        </is>
      </c>
      <c r="B9" s="2" t="n">
        <v>10</v>
      </c>
      <c r="D9" t="inlineStr">
        <is>
          <t>Exit Debt</t>
        </is>
      </c>
      <c r="E9" s="2">
        <f>E5*(1-B11)^B8</f>
        <v/>
      </c>
    </row>
    <row r="10">
      <c r="A10" t="inlineStr">
        <is>
          <t>EBITDA CAGR</t>
        </is>
      </c>
      <c r="B10" s="2" t="n">
        <v>0.06</v>
      </c>
      <c r="D10" t="inlineStr">
        <is>
          <t>Exit Equity</t>
        </is>
      </c>
      <c r="E10" s="2">
        <f>E8-E9</f>
        <v/>
      </c>
    </row>
    <row r="11">
      <c r="A11" t="inlineStr">
        <is>
          <t>Annual Debt Paydown (% of Debt)</t>
        </is>
      </c>
      <c r="B11" s="2" t="n">
        <v>0.1</v>
      </c>
      <c r="D11" t="inlineStr">
        <is>
          <t>MOIC</t>
        </is>
      </c>
      <c r="E11" s="5">
        <f>E10/E6</f>
        <v/>
      </c>
    </row>
    <row r="12">
      <c r="B12" s="2" t="n"/>
      <c r="D12" t="inlineStr">
        <is>
          <t>Equity IRR</t>
        </is>
      </c>
      <c r="E12" s="3">
        <f>IFERROR((E11)^(1/B8)-1, "")</f>
        <v/>
      </c>
    </row>
    <row r="13">
      <c r="B13" s="3" t="n"/>
    </row>
    <row r="14"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2026-02-01T11:00:48Z</dcterms:created>
  <dcterms:modified xsi:type="dcterms:W3CDTF">2026-02-01T11:00:48Z</dcterms:modified>
</cp:coreProperties>
</file>